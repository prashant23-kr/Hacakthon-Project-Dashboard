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B469E4-E23C-4790-80A5-DF18F7D67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_Final" sheetId="1" r:id="rId1"/>
    <sheet name="Dashboard" sheetId="2" r:id="rId2"/>
    <sheet name="Dark_Stores_Clean" sheetId="3" r:id="rId3"/>
    <sheet name="Dashboard_Data" sheetId="4" r:id="rId4"/>
    <sheet name="README" sheetId="5" r:id="rId5"/>
    <sheet name="Dashboard_Helper" sheetId="6" state="hidden" r:id="rId6"/>
  </sheets>
  <definedNames>
    <definedName name="_xlnm._FilterDatabase" localSheetId="2" hidden="1">Dark_Stores_Clean!$A$1:$I$11</definedName>
    <definedName name="_xlnm._FilterDatabase" localSheetId="3" hidden="1">Dashboard_Data!$A$1:$K$11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6" l="1"/>
  <c r="F10" i="6"/>
  <c r="F9" i="6"/>
  <c r="F8" i="6"/>
  <c r="F7" i="6"/>
  <c r="F6" i="6"/>
  <c r="I5" i="6"/>
  <c r="F5" i="6"/>
  <c r="I4" i="6"/>
  <c r="F4" i="6"/>
  <c r="I3" i="6"/>
  <c r="F3" i="6"/>
  <c r="I2" i="6"/>
  <c r="F2" i="6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C19" i="2"/>
  <c r="C18" i="2"/>
  <c r="C17" i="2"/>
  <c r="C16" i="2"/>
  <c r="C15" i="2"/>
  <c r="C14" i="2"/>
  <c r="C13" i="2"/>
  <c r="C12" i="2"/>
  <c r="C11" i="2"/>
  <c r="C10" i="2"/>
  <c r="A22" i="1"/>
  <c r="D22" i="1" s="1"/>
  <c r="E21" i="1"/>
  <c r="D21" i="1"/>
  <c r="C21" i="1"/>
  <c r="A21" i="1"/>
  <c r="B21" i="1" s="1"/>
  <c r="A20" i="1"/>
  <c r="E20" i="1" s="1"/>
  <c r="A19" i="1"/>
  <c r="B19" i="1" s="1"/>
  <c r="A18" i="1"/>
  <c r="E18" i="1" s="1"/>
  <c r="A17" i="1"/>
  <c r="D17" i="1" s="1"/>
  <c r="E16" i="1"/>
  <c r="D16" i="1"/>
  <c r="A16" i="1"/>
  <c r="C16" i="1" s="1"/>
  <c r="A15" i="1"/>
  <c r="E14" i="1"/>
  <c r="D14" i="1"/>
  <c r="C14" i="1"/>
  <c r="A14" i="1"/>
  <c r="B14" i="1" s="1"/>
  <c r="A13" i="1"/>
  <c r="E13" i="1" s="1"/>
  <c r="K8" i="1"/>
  <c r="I8" i="1"/>
  <c r="G8" i="1"/>
  <c r="E8" i="1"/>
  <c r="C8" i="1"/>
  <c r="A8" i="1"/>
  <c r="C15" i="1" l="1"/>
  <c r="C17" i="1"/>
  <c r="B20" i="1"/>
  <c r="B13" i="1"/>
  <c r="D15" i="1"/>
  <c r="C20" i="1"/>
  <c r="E22" i="1"/>
  <c r="C13" i="1"/>
  <c r="E15" i="1"/>
  <c r="B18" i="1"/>
  <c r="D20" i="1"/>
  <c r="C19" i="1"/>
  <c r="B22" i="1"/>
  <c r="B15" i="1"/>
  <c r="E17" i="1"/>
  <c r="D13" i="1"/>
  <c r="C18" i="1"/>
  <c r="B16" i="1"/>
  <c r="D18" i="1"/>
  <c r="B17" i="1"/>
  <c r="D19" i="1"/>
  <c r="E19" i="1"/>
  <c r="C22" i="1"/>
</calcChain>
</file>

<file path=xl/sharedStrings.xml><?xml version="1.0" encoding="utf-8"?>
<sst xmlns="http://schemas.openxmlformats.org/spreadsheetml/2006/main" count="195" uniqueCount="87">
  <si>
    <t>DARK STORE PERFORMANCE ANALYTICS</t>
  </si>
  <si>
    <t>Interactive Excel Dashboard • Store Operations • Cost • Capacity</t>
  </si>
  <si>
    <t>STORE FILTER</t>
  </si>
  <si>
    <t>All Stores</t>
  </si>
  <si>
    <t>TOTAL STORES</t>
  </si>
  <si>
    <t>MONTHLY RENT</t>
  </si>
  <si>
    <t>AVG / SELECTED SQFT</t>
  </si>
  <si>
    <t>TOTAL STAFF</t>
  </si>
  <si>
    <t>COLD STORAGE</t>
  </si>
  <si>
    <t>RENT / SQFT</t>
  </si>
  <si>
    <t>STORE COST &amp; CAPACITY</t>
  </si>
  <si>
    <t>OPERATIONAL MIX</t>
  </si>
  <si>
    <t>Store</t>
  </si>
  <si>
    <t>Monthly Rent</t>
  </si>
  <si>
    <t>Rent / Sqft</t>
  </si>
  <si>
    <t>Cold Storage</t>
  </si>
  <si>
    <t>Staff</t>
  </si>
  <si>
    <t>QUICK INSIGHTS</t>
  </si>
  <si>
    <t>Use the STORE FILTER above to switch between the full network and an individual store. The KPI cards and store detail table update automatically.</t>
  </si>
  <si>
    <t>Dashboard scope: 10 stores in the supplied workbook. Staff total uses the available non-blank staff values, matching the source data.</t>
  </si>
  <si>
    <t>DESIGN THEME  •  LIGHT BLUE  •  EXECUTIVE ANALYTICS  •  INTERACTIVE STORE FILTER</t>
  </si>
  <si>
    <t>TOTAL MONTHLY RENT</t>
  </si>
  <si>
    <t>AVG STORE SIZE</t>
  </si>
  <si>
    <t>TOTAL COLD STORAGE</t>
  </si>
  <si>
    <t>Sector 18 Hub</t>
  </si>
  <si>
    <t>Sector 62 Express</t>
  </si>
  <si>
    <t>Sector 137 Riverside</t>
  </si>
  <si>
    <t>Greater Noida Alpha</t>
  </si>
  <si>
    <t>Sector 76 Central</t>
  </si>
  <si>
    <t>Noida Extension North</t>
  </si>
  <si>
    <t>Sector 44 Metro</t>
  </si>
  <si>
    <t>Sector 104 Gardens</t>
  </si>
  <si>
    <t>Sector 150 Sports City</t>
  </si>
  <si>
    <t>Sector 51 Junction</t>
  </si>
  <si>
    <t>Source note: this file uses the 10 store rows visible in the supplied Power Query screenshot. S08 has a blank staff_count, so the total staff KPI excludes that missing value. The complete 70-row Store_Hours source was not available as a file here, so it has not been invented.</t>
  </si>
  <si>
    <t>store_id</t>
  </si>
  <si>
    <t>store_name</t>
  </si>
  <si>
    <t>pincode</t>
  </si>
  <si>
    <t>opened_date</t>
  </si>
  <si>
    <t>sqft</t>
  </si>
  <si>
    <t>monthly_rent</t>
  </si>
  <si>
    <t>staff_count</t>
  </si>
  <si>
    <t>cold_storage_capacity</t>
  </si>
  <si>
    <t>city</t>
  </si>
  <si>
    <t>S01</t>
  </si>
  <si>
    <t>201301</t>
  </si>
  <si>
    <t>6/15/2025</t>
  </si>
  <si>
    <t>Noida</t>
  </si>
  <si>
    <t>S02</t>
  </si>
  <si>
    <t>201309</t>
  </si>
  <si>
    <t>7/1/2025</t>
  </si>
  <si>
    <t>S03</t>
  </si>
  <si>
    <t>201305</t>
  </si>
  <si>
    <t>8/10/2025</t>
  </si>
  <si>
    <t>S04</t>
  </si>
  <si>
    <t>201310</t>
  </si>
  <si>
    <t>9/5/2025</t>
  </si>
  <si>
    <t>S05</t>
  </si>
  <si>
    <t>201304</t>
  </si>
  <si>
    <t>9/20/2025</t>
  </si>
  <si>
    <t>S06</t>
  </si>
  <si>
    <t>201306</t>
  </si>
  <si>
    <t>10/11/2025</t>
  </si>
  <si>
    <t>S07</t>
  </si>
  <si>
    <t>201303</t>
  </si>
  <si>
    <t>6/28/2025</t>
  </si>
  <si>
    <t>S08</t>
  </si>
  <si>
    <t>11/2/2025</t>
  </si>
  <si>
    <t>S09</t>
  </si>
  <si>
    <t>S10</t>
  </si>
  <si>
    <t>2/8/2026</t>
  </si>
  <si>
    <t>rent_per_sqft</t>
  </si>
  <si>
    <t>cold_storage_percent</t>
  </si>
  <si>
    <t>Dark Store Analytics — Power BI Ready Workbook</t>
  </si>
  <si>
    <t>This workbook contains the store data, calculated analysis fields, and a dashboard-style summary.</t>
  </si>
  <si>
    <t>Important: it is an Excel workbook, not a native .PBIX file.</t>
  </si>
  <si>
    <t>Recommended Power BI visuals:</t>
  </si>
  <si>
    <t>• KPI cards: Total Stores, Total Monthly Rent, Average Store Size, Total Staff, Total Cold Storage</t>
  </si>
  <si>
    <t>• Bar chart: Monthly Rent by Store</t>
  </si>
  <si>
    <t>• Column chart: Cold Storage Capacity by Store</t>
  </si>
  <si>
    <t>• Bar chart: Rent per Sqft by Store</t>
  </si>
  <si>
    <t>• Slicers: Store Name, City, Opened Date</t>
  </si>
  <si>
    <t>Dashboard_Final was added as a polished interactive dashboard. Use the Store Filter dropdown on the dashboard.</t>
  </si>
  <si>
    <t>Sqft</t>
  </si>
  <si>
    <t>Rent/Sqft</t>
  </si>
  <si>
    <t>Selected Store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</si>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</sst>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#,##0.0"/>
    <numFmt numFmtId="166" formatCode="\₹0.00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2"/>
      <color rgb="FFFFFFFF"/>
      <name val="Calibri"/>
      <family val="2"/>
    </font>
    <font>
      <b/>
      <sz val="20"/>
      <color rgb="FF17365D"/>
      <name val="Calibri"/>
      <family val="2"/>
    </font>
    <font>
      <i/>
      <sz val="11"/>
      <color rgb="FF666666"/>
      <name val="Calibri"/>
      <family val="2"/>
    </font>
    <font>
      <b/>
      <sz val="16"/>
      <name val="Calibri"/>
      <family val="2"/>
    </font>
    <font>
      <b/>
      <sz val="11"/>
      <color rgb="FF17365D"/>
      <name val="Calibri"/>
      <family val="2"/>
    </font>
    <font>
      <b/>
      <sz val="24"/>
      <color rgb="FFFFFFFF"/>
      <name val="Aptos Display"/>
      <family val="2"/>
    </font>
    <font>
      <i/>
      <sz val="11"/>
      <color rgb="FF607D94"/>
      <name val="Trebuchet MS"/>
      <family val="2"/>
    </font>
    <font>
      <b/>
      <sz val="10"/>
      <color rgb="FFFFFFFF"/>
      <name val="Trebuchet MS"/>
      <family val="2"/>
    </font>
    <font>
      <b/>
      <sz val="12"/>
      <color rgb="FF123B5D"/>
      <name val="Trebuchet MS"/>
      <family val="2"/>
    </font>
    <font>
      <b/>
      <sz val="9"/>
      <color rgb="FFFFFFFF"/>
      <name val="Trebuchet MS"/>
      <family val="2"/>
    </font>
    <font>
      <b/>
      <sz val="19"/>
      <color rgb="FF17324D"/>
      <name val="Aptos Display"/>
      <family val="2"/>
    </font>
    <font>
      <b/>
      <sz val="12"/>
      <color rgb="FFFFFFFF"/>
      <name val="Aptos Display"/>
      <family val="2"/>
    </font>
    <font>
      <sz val="10"/>
      <color rgb="FF17324D"/>
      <name val="Aptos"/>
      <family val="2"/>
    </font>
    <font>
      <b/>
      <sz val="9"/>
      <color rgb="FF2F80ED"/>
      <name val="Trebuchet MS"/>
      <family val="2"/>
    </font>
    <font>
      <b/>
      <sz val="11"/>
      <color rgb="FFFFFFFF"/>
      <name val="Trebuchet MS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00A6A6"/>
      </patternFill>
    </fill>
    <fill>
      <patternFill patternType="solid">
        <fgColor rgb="FFEAF6FF"/>
      </patternFill>
    </fill>
    <fill>
      <patternFill patternType="solid">
        <fgColor rgb="FF123B5D"/>
      </patternFill>
    </fill>
    <fill>
      <patternFill patternType="solid">
        <fgColor rgb="FF7B61FF"/>
      </patternFill>
    </fill>
    <fill>
      <patternFill patternType="solid">
        <fgColor rgb="FFD7EEFF"/>
      </patternFill>
    </fill>
    <fill>
      <patternFill patternType="solid">
        <fgColor rgb="FF2F80ED"/>
      </patternFill>
    </fill>
    <fill>
      <patternFill patternType="solid">
        <fgColor rgb="FFF8FCFF"/>
      </patternFill>
    </fill>
    <fill>
      <patternFill patternType="solid">
        <fgColor rgb="FF2E9B62"/>
      </patternFill>
    </fill>
    <fill>
      <patternFill patternType="solid">
        <fgColor rgb="FFF2994A"/>
      </patternFill>
    </fill>
    <fill>
      <patternFill patternType="solid">
        <fgColor rgb="FFF2C94C"/>
      </patternFill>
    </fill>
    <fill>
      <patternFill patternType="solid">
        <fgColor rgb="FFFFFFFF"/>
      </patternFill>
    </fill>
    <fill>
      <patternFill patternType="solid">
        <fgColor rgb="FFF4FAFE"/>
      </patternFill>
    </fill>
  </fills>
  <borders count="8">
    <border>
      <left/>
      <right/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 style="medium">
        <color rgb="FF2F80ED"/>
      </left>
      <right style="medium">
        <color rgb="FF2F80ED"/>
      </right>
      <top style="medium">
        <color rgb="FF2F80ED"/>
      </top>
      <bottom style="medium">
        <color rgb="FF2F80ED"/>
      </bottom>
      <diagonal/>
    </border>
    <border>
      <left style="thin">
        <color rgb="FFB9D7EA"/>
      </left>
      <right style="thin">
        <color rgb="FFB9D7EA"/>
      </right>
      <top style="thin">
        <color rgb="FFB9D7EA"/>
      </top>
      <bottom style="thin">
        <color rgb="FFB9D7EA"/>
      </bottom>
      <diagonal/>
    </border>
    <border>
      <left/>
      <right/>
      <top/>
      <bottom style="medium">
        <color rgb="FF2F80ED"/>
      </bottom>
      <diagonal/>
    </border>
    <border>
      <left/>
      <right/>
      <top/>
      <bottom style="thin">
        <color rgb="FFB9D7E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0" fillId="7" borderId="0" xfId="0" applyFill="1"/>
    <xf numFmtId="0" fontId="9" fillId="9" borderId="0" xfId="0" applyFont="1" applyFill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4" fillId="16" borderId="7" xfId="0" applyFont="1" applyFill="1" applyBorder="1" applyAlignment="1">
      <alignment horizontal="left" vertical="center"/>
    </xf>
    <xf numFmtId="164" fontId="14" fillId="16" borderId="7" xfId="0" applyNumberFormat="1" applyFont="1" applyFill="1" applyBorder="1" applyAlignment="1">
      <alignment horizontal="right" vertical="center"/>
    </xf>
    <xf numFmtId="166" fontId="14" fillId="16" borderId="7" xfId="0" applyNumberFormat="1" applyFont="1" applyFill="1" applyBorder="1" applyAlignment="1">
      <alignment horizontal="right" vertical="center"/>
    </xf>
    <xf numFmtId="3" fontId="14" fillId="16" borderId="7" xfId="0" applyNumberFormat="1" applyFont="1" applyFill="1" applyBorder="1" applyAlignment="1">
      <alignment horizontal="right" vertical="center"/>
    </xf>
    <xf numFmtId="1" fontId="14" fillId="16" borderId="7" xfId="0" applyNumberFormat="1" applyFont="1" applyFill="1" applyBorder="1" applyAlignment="1">
      <alignment horizontal="right" vertical="center"/>
    </xf>
    <xf numFmtId="0" fontId="14" fillId="17" borderId="7" xfId="0" applyFont="1" applyFill="1" applyBorder="1" applyAlignment="1">
      <alignment horizontal="left" vertical="center"/>
    </xf>
    <xf numFmtId="164" fontId="14" fillId="17" borderId="7" xfId="0" applyNumberFormat="1" applyFont="1" applyFill="1" applyBorder="1" applyAlignment="1">
      <alignment horizontal="right" vertical="center"/>
    </xf>
    <xf numFmtId="166" fontId="14" fillId="17" borderId="7" xfId="0" applyNumberFormat="1" applyFont="1" applyFill="1" applyBorder="1" applyAlignment="1">
      <alignment horizontal="right" vertical="center"/>
    </xf>
    <xf numFmtId="3" fontId="14" fillId="17" borderId="7" xfId="0" applyNumberFormat="1" applyFont="1" applyFill="1" applyBorder="1" applyAlignment="1">
      <alignment horizontal="right" vertical="center"/>
    </xf>
    <xf numFmtId="1" fontId="14" fillId="17" borderId="7" xfId="0" applyNumberFormat="1" applyFont="1" applyFill="1" applyBorder="1" applyAlignment="1">
      <alignment horizontal="right" vertical="center"/>
    </xf>
    <xf numFmtId="0" fontId="16" fillId="8" borderId="0" xfId="0" applyFont="1" applyFill="1" applyAlignment="1">
      <alignment horizontal="center"/>
    </xf>
    <xf numFmtId="0" fontId="14" fillId="17" borderId="0" xfId="0" applyFont="1" applyFill="1"/>
    <xf numFmtId="0" fontId="14" fillId="0" borderId="0" xfId="0" applyFont="1"/>
    <xf numFmtId="0" fontId="8" fillId="7" borderId="0" xfId="0" applyFont="1" applyFill="1" applyAlignment="1">
      <alignment horizontal="center"/>
    </xf>
    <xf numFmtId="0" fontId="0" fillId="7" borderId="0" xfId="0" applyFill="1"/>
    <xf numFmtId="3" fontId="12" fillId="12" borderId="5" xfId="0" applyNumberFormat="1" applyFont="1" applyFill="1" applyBorder="1" applyAlignment="1">
      <alignment horizontal="center" vertical="center"/>
    </xf>
    <xf numFmtId="0" fontId="0" fillId="12" borderId="5" xfId="0" applyFill="1" applyBorder="1"/>
    <xf numFmtId="1" fontId="12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4" fontId="12" fillId="12" borderId="5" xfId="0" applyNumberFormat="1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0" fillId="11" borderId="5" xfId="0" applyFill="1" applyBorder="1"/>
    <xf numFmtId="0" fontId="11" fillId="14" borderId="5" xfId="0" applyFont="1" applyFill="1" applyBorder="1" applyAlignment="1">
      <alignment horizontal="center" vertical="center"/>
    </xf>
    <xf numFmtId="0" fontId="0" fillId="14" borderId="5" xfId="0" applyFill="1" applyBorder="1"/>
    <xf numFmtId="0" fontId="11" fillId="15" borderId="5" xfId="0" applyFont="1" applyFill="1" applyBorder="1" applyAlignment="1">
      <alignment horizontal="center" vertical="center"/>
    </xf>
    <xf numFmtId="0" fontId="0" fillId="15" borderId="5" xfId="0" applyFill="1" applyBorder="1"/>
    <xf numFmtId="0" fontId="7" fillId="8" borderId="0" xfId="0" applyFont="1" applyFill="1" applyAlignment="1">
      <alignment horizontal="center" vertical="center"/>
    </xf>
    <xf numFmtId="0" fontId="0" fillId="8" borderId="0" xfId="0" applyFill="1"/>
    <xf numFmtId="0" fontId="13" fillId="8" borderId="6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2" xfId="0" applyFill="1" applyBorder="1"/>
    <xf numFmtId="0" fontId="15" fillId="10" borderId="0" xfId="0" applyFont="1" applyFill="1" applyAlignment="1">
      <alignment horizontal="center" vertical="center"/>
    </xf>
    <xf numFmtId="0" fontId="0" fillId="0" borderId="0" xfId="0"/>
    <xf numFmtId="0" fontId="0" fillId="7" borderId="3" xfId="0" applyFill="1" applyBorder="1"/>
    <xf numFmtId="0" fontId="11" fillId="9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11" fillId="6" borderId="5" xfId="0" applyFont="1" applyFill="1" applyBorder="1" applyAlignment="1">
      <alignment horizontal="center" vertical="center"/>
    </xf>
    <xf numFmtId="0" fontId="0" fillId="6" borderId="5" xfId="0" applyFill="1" applyBorder="1"/>
    <xf numFmtId="0" fontId="11" fillId="13" borderId="5" xfId="0" applyFont="1" applyFill="1" applyBorder="1" applyAlignment="1">
      <alignment horizontal="center" vertical="center"/>
    </xf>
    <xf numFmtId="0" fontId="0" fillId="13" borderId="5" xfId="0" applyFill="1" applyBorder="1"/>
    <xf numFmtId="0" fontId="14" fillId="16" borderId="5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Rent by Store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Dashboard_Helper!$B$1</c:f>
              <c:strCache>
                <c:ptCount val="1"/>
                <c:pt idx="0">
                  <c:v>Monthly Rent</c:v>
                </c:pt>
              </c:strCache>
            </c:strRef>
          </c:tx>
          <c:spPr>
            <a:solidFill>
              <a:srgbClr val="2F80ED"/>
            </a:solidFill>
            <a:ln>
              <a:solidFill>
                <a:srgbClr val="2F80ED"/>
              </a:solidFill>
              <a:prstDash val="solid"/>
            </a:ln>
          </c:spPr>
          <c:invertIfNegative val="1"/>
          <c:cat>
            <c:strRef>
              <c:f>Dashboard_Helper!$A$2:$A$11</c:f>
              <c:strCache>
                <c:ptCount val="10"/>
                <c:pt idx="0">
                  <c:v>Sector 18 Hub</c:v>
                </c:pt>
                <c:pt idx="1">
                  <c:v>Sector 62 Express</c:v>
                </c:pt>
                <c:pt idx="2">
                  <c:v>Sector 137 Riverside</c:v>
                </c:pt>
                <c:pt idx="3">
                  <c:v>Greater Noida Alpha</c:v>
                </c:pt>
                <c:pt idx="4">
                  <c:v>Sector 76 Central</c:v>
                </c:pt>
                <c:pt idx="5">
                  <c:v>Noida Extension North</c:v>
                </c:pt>
                <c:pt idx="6">
                  <c:v>Sector 44 Metro</c:v>
                </c:pt>
                <c:pt idx="7">
                  <c:v>Sector 104 Gardens</c:v>
                </c:pt>
                <c:pt idx="8">
                  <c:v>Sector 150 Sports City</c:v>
                </c:pt>
                <c:pt idx="9">
                  <c:v>Sector 51 Junction</c:v>
                </c:pt>
              </c:strCache>
            </c:strRef>
          </c:cat>
          <c:val>
            <c:numRef>
              <c:f>Dashboard_Helper!$B$2:$B$11</c:f>
              <c:numCache>
                <c:formatCode>General</c:formatCode>
                <c:ptCount val="10"/>
                <c:pt idx="0">
                  <c:v>178000</c:v>
                </c:pt>
                <c:pt idx="1">
                  <c:v>162000</c:v>
                </c:pt>
                <c:pt idx="2">
                  <c:v>196000</c:v>
                </c:pt>
                <c:pt idx="3">
                  <c:v>152000</c:v>
                </c:pt>
                <c:pt idx="4">
                  <c:v>181000</c:v>
                </c:pt>
                <c:pt idx="5">
                  <c:v>158000</c:v>
                </c:pt>
                <c:pt idx="6">
                  <c:v>228000</c:v>
                </c:pt>
                <c:pt idx="7">
                  <c:v>146000</c:v>
                </c:pt>
                <c:pt idx="8">
                  <c:v>172000</c:v>
                </c:pt>
                <c:pt idx="9">
                  <c:v>165000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80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3B-4F2E-8591-810CB0E6F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 Rent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Store Area (sqft)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Dashboard_Helper!$C$1</c:f>
              <c:strCache>
                <c:ptCount val="1"/>
                <c:pt idx="0">
                  <c:v>Sqft</c:v>
                </c:pt>
              </c:strCache>
            </c:strRef>
          </c:tx>
          <c:spPr>
            <a:solidFill>
              <a:srgbClr val="2F80ED"/>
            </a:solidFill>
            <a:ln>
              <a:solidFill>
                <a:srgbClr val="2F80ED"/>
              </a:solidFill>
              <a:prstDash val="solid"/>
            </a:ln>
          </c:spPr>
          <c:invertIfNegative val="1"/>
          <c:cat>
            <c:strRef>
              <c:f>Dashboard_Helper!$A$2:$A$11</c:f>
              <c:strCache>
                <c:ptCount val="10"/>
                <c:pt idx="0">
                  <c:v>Sector 18 Hub</c:v>
                </c:pt>
                <c:pt idx="1">
                  <c:v>Sector 62 Express</c:v>
                </c:pt>
                <c:pt idx="2">
                  <c:v>Sector 137 Riverside</c:v>
                </c:pt>
                <c:pt idx="3">
                  <c:v>Greater Noida Alpha</c:v>
                </c:pt>
                <c:pt idx="4">
                  <c:v>Sector 76 Central</c:v>
                </c:pt>
                <c:pt idx="5">
                  <c:v>Noida Extension North</c:v>
                </c:pt>
                <c:pt idx="6">
                  <c:v>Sector 44 Metro</c:v>
                </c:pt>
                <c:pt idx="7">
                  <c:v>Sector 104 Gardens</c:v>
                </c:pt>
                <c:pt idx="8">
                  <c:v>Sector 150 Sports City</c:v>
                </c:pt>
                <c:pt idx="9">
                  <c:v>Sector 51 Junction</c:v>
                </c:pt>
              </c:strCache>
            </c:strRef>
          </c:cat>
          <c:val>
            <c:numRef>
              <c:f>Dashboard_Helper!$C$2:$C$11</c:f>
              <c:numCache>
                <c:formatCode>General</c:formatCode>
                <c:ptCount val="10"/>
                <c:pt idx="0">
                  <c:v>2200</c:v>
                </c:pt>
                <c:pt idx="1">
                  <c:v>1900</c:v>
                </c:pt>
                <c:pt idx="2">
                  <c:v>2100</c:v>
                </c:pt>
                <c:pt idx="3">
                  <c:v>2000</c:v>
                </c:pt>
                <c:pt idx="4">
                  <c:v>1800</c:v>
                </c:pt>
                <c:pt idx="5">
                  <c:v>2300</c:v>
                </c:pt>
                <c:pt idx="6">
                  <c:v>2400</c:v>
                </c:pt>
                <c:pt idx="7">
                  <c:v>1700</c:v>
                </c:pt>
                <c:pt idx="8">
                  <c:v>2150</c:v>
                </c:pt>
                <c:pt idx="9">
                  <c:v>1850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80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E7-4451-83AA-DCB2DBEEC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 Feet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Staff Count by Store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Dashboard_Helper!$D$1</c:f>
              <c:strCache>
                <c:ptCount val="1"/>
                <c:pt idx="0">
                  <c:v>Staff</c:v>
                </c:pt>
              </c:strCache>
            </c:strRef>
          </c:tx>
          <c:spPr>
            <a:solidFill>
              <a:srgbClr val="2F80ED"/>
            </a:solidFill>
            <a:ln>
              <a:solidFill>
                <a:srgbClr val="2F80ED"/>
              </a:solidFill>
              <a:prstDash val="solid"/>
            </a:ln>
          </c:spPr>
          <c:invertIfNegative val="1"/>
          <c:cat>
            <c:strRef>
              <c:f>Dashboard_Helper!$A$2:$A$11</c:f>
              <c:strCache>
                <c:ptCount val="10"/>
                <c:pt idx="0">
                  <c:v>Sector 18 Hub</c:v>
                </c:pt>
                <c:pt idx="1">
                  <c:v>Sector 62 Express</c:v>
                </c:pt>
                <c:pt idx="2">
                  <c:v>Sector 137 Riverside</c:v>
                </c:pt>
                <c:pt idx="3">
                  <c:v>Greater Noida Alpha</c:v>
                </c:pt>
                <c:pt idx="4">
                  <c:v>Sector 76 Central</c:v>
                </c:pt>
                <c:pt idx="5">
                  <c:v>Noida Extension North</c:v>
                </c:pt>
                <c:pt idx="6">
                  <c:v>Sector 44 Metro</c:v>
                </c:pt>
                <c:pt idx="7">
                  <c:v>Sector 104 Gardens</c:v>
                </c:pt>
                <c:pt idx="8">
                  <c:v>Sector 150 Sports City</c:v>
                </c:pt>
                <c:pt idx="9">
                  <c:v>Sector 51 Junction</c:v>
                </c:pt>
              </c:strCache>
            </c:strRef>
          </c:cat>
          <c:val>
            <c:numRef>
              <c:f>Dashboard_Helper!$D$2:$D$11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15</c:v>
                </c:pt>
                <c:pt idx="6">
                  <c:v>16</c:v>
                </c:pt>
                <c:pt idx="7">
                  <c:v>0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F80E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C3-40AD-A453-A2D42110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Staff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Rent by Store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Monthly Rent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Dashboard!$A$10:$A$19</c:f>
              <c:strCache>
                <c:ptCount val="10"/>
                <c:pt idx="0">
                  <c:v>Sector 18 Hub</c:v>
                </c:pt>
                <c:pt idx="1">
                  <c:v>Sector 62 Express</c:v>
                </c:pt>
                <c:pt idx="2">
                  <c:v>Sector 137 Riverside</c:v>
                </c:pt>
                <c:pt idx="3">
                  <c:v>Greater Noida Alpha</c:v>
                </c:pt>
                <c:pt idx="4">
                  <c:v>Sector 76 Central</c:v>
                </c:pt>
                <c:pt idx="5">
                  <c:v>Noida Extension North</c:v>
                </c:pt>
                <c:pt idx="6">
                  <c:v>Sector 44 Metro</c:v>
                </c:pt>
                <c:pt idx="7">
                  <c:v>Sector 104 Gardens</c:v>
                </c:pt>
                <c:pt idx="8">
                  <c:v>Sector 150 Sports City</c:v>
                </c:pt>
                <c:pt idx="9">
                  <c:v>Sector 51 Junction</c:v>
                </c:pt>
              </c:strCache>
            </c:strRef>
          </c:cat>
          <c:val>
            <c:numRef>
              <c:f>Dashboard!$B$10:$B$19</c:f>
              <c:numCache>
                <c:formatCode>\₹#,##0</c:formatCode>
                <c:ptCount val="10"/>
                <c:pt idx="0">
                  <c:v>178000</c:v>
                </c:pt>
                <c:pt idx="1">
                  <c:v>162000</c:v>
                </c:pt>
                <c:pt idx="2">
                  <c:v>196000</c:v>
                </c:pt>
                <c:pt idx="3">
                  <c:v>152000</c:v>
                </c:pt>
                <c:pt idx="4">
                  <c:v>181000</c:v>
                </c:pt>
                <c:pt idx="5">
                  <c:v>158000</c:v>
                </c:pt>
                <c:pt idx="6">
                  <c:v>228000</c:v>
                </c:pt>
                <c:pt idx="7">
                  <c:v>146000</c:v>
                </c:pt>
                <c:pt idx="8">
                  <c:v>172000</c:v>
                </c:pt>
                <c:pt idx="9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1-40E0-9503-926E9D46A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Monthly Rent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Store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Cold Storage Capacity by Store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Dashboard!$D$9</c:f>
              <c:strCache>
                <c:ptCount val="1"/>
                <c:pt idx="0">
                  <c:v>Cold Storage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Dashboard!$A$10:$A$19</c:f>
              <c:strCache>
                <c:ptCount val="10"/>
                <c:pt idx="0">
                  <c:v>Sector 18 Hub</c:v>
                </c:pt>
                <c:pt idx="1">
                  <c:v>Sector 62 Express</c:v>
                </c:pt>
                <c:pt idx="2">
                  <c:v>Sector 137 Riverside</c:v>
                </c:pt>
                <c:pt idx="3">
                  <c:v>Greater Noida Alpha</c:v>
                </c:pt>
                <c:pt idx="4">
                  <c:v>Sector 76 Central</c:v>
                </c:pt>
                <c:pt idx="5">
                  <c:v>Noida Extension North</c:v>
                </c:pt>
                <c:pt idx="6">
                  <c:v>Sector 44 Metro</c:v>
                </c:pt>
                <c:pt idx="7">
                  <c:v>Sector 104 Gardens</c:v>
                </c:pt>
                <c:pt idx="8">
                  <c:v>Sector 150 Sports City</c:v>
                </c:pt>
                <c:pt idx="9">
                  <c:v>Sector 51 Junction</c:v>
                </c:pt>
              </c:strCache>
            </c:strRef>
          </c:cat>
          <c:val>
            <c:numRef>
              <c:f>Dashboard!$D$10:$D$19</c:f>
              <c:numCache>
                <c:formatCode>General</c:formatCode>
                <c:ptCount val="10"/>
                <c:pt idx="0">
                  <c:v>900</c:v>
                </c:pt>
                <c:pt idx="1">
                  <c:v>800</c:v>
                </c:pt>
                <c:pt idx="2">
                  <c:v>850</c:v>
                </c:pt>
                <c:pt idx="3">
                  <c:v>820</c:v>
                </c:pt>
                <c:pt idx="4">
                  <c:v>700</c:v>
                </c:pt>
                <c:pt idx="5">
                  <c:v>950</c:v>
                </c:pt>
                <c:pt idx="6">
                  <c:v>380</c:v>
                </c:pt>
                <c:pt idx="7">
                  <c:v>700</c:v>
                </c:pt>
                <c:pt idx="8">
                  <c:v>830</c:v>
                </c:pt>
                <c:pt idx="9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2-4104-84FF-C705D06DE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Capacity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46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80ED"/>
    <pageSetUpPr fitToPage="1"/>
  </sheetPr>
  <dimension ref="A1:L45"/>
  <sheetViews>
    <sheetView showGridLines="0" tabSelected="1" zoomScale="69" workbookViewId="0">
      <pane ySplit="6" topLeftCell="A16" activePane="bottomLeft" state="frozen"/>
      <selection pane="bottomLeft" activeCell="E5" sqref="E5"/>
    </sheetView>
  </sheetViews>
  <sheetFormatPr defaultRowHeight="14.4" x14ac:dyDescent="0.3"/>
  <cols>
    <col min="1" max="2" width="18" customWidth="1"/>
    <col min="3" max="5" width="16" customWidth="1"/>
    <col min="6" max="6" width="4" customWidth="1"/>
    <col min="7" max="12" width="18" customWidth="1"/>
    <col min="13" max="13" width="4" customWidth="1"/>
  </cols>
  <sheetData>
    <row r="1" spans="1:12" ht="34.049999999999997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2.0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8.05" customHeight="1" x14ac:dyDescent="0.3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22.0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37.950000000000003" customHeight="1" x14ac:dyDescent="0.3">
      <c r="A5" s="6" t="s">
        <v>2</v>
      </c>
      <c r="B5" s="37" t="s">
        <v>3</v>
      </c>
      <c r="C5" s="38"/>
      <c r="D5" s="39"/>
      <c r="E5" s="56"/>
      <c r="F5" s="5"/>
      <c r="G5" s="5"/>
      <c r="H5" s="5"/>
      <c r="I5" s="5"/>
      <c r="J5" s="5"/>
      <c r="K5" s="5"/>
      <c r="L5" s="5"/>
    </row>
    <row r="6" spans="1:12" ht="22.0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2.05" customHeight="1" x14ac:dyDescent="0.3">
      <c r="A7" s="28" t="s">
        <v>4</v>
      </c>
      <c r="B7" s="29"/>
      <c r="C7" s="45" t="s">
        <v>5</v>
      </c>
      <c r="D7" s="46"/>
      <c r="E7" s="47" t="s">
        <v>6</v>
      </c>
      <c r="F7" s="48"/>
      <c r="G7" s="30" t="s">
        <v>7</v>
      </c>
      <c r="H7" s="31"/>
      <c r="I7" s="32" t="s">
        <v>8</v>
      </c>
      <c r="J7" s="33"/>
      <c r="K7" s="43" t="s">
        <v>9</v>
      </c>
      <c r="L7" s="44"/>
    </row>
    <row r="8" spans="1:12" ht="22.05" customHeight="1" x14ac:dyDescent="0.3">
      <c r="A8" s="25">
        <f>IF($B$5="All Stores",COUNTA(Dark_Stores_Clean!$A$2:$A$11),1)</f>
        <v>10</v>
      </c>
      <c r="B8" s="24"/>
      <c r="C8" s="27">
        <f>IF($B$5="All Stores",SUM(Dark_Stores_Clean!$F$2:$F$11),INDEX(Dark_Stores_Clean!$F$2:$F$11,MATCH($B$5,Dark_Stores_Clean!$B$2:$B$11,0)))</f>
        <v>1738000</v>
      </c>
      <c r="D8" s="24"/>
      <c r="E8" s="23">
        <f>IF($B$5="All Stores",AVERAGE(Dark_Stores_Clean!$E$2:$E$11),INDEX(Dark_Stores_Clean!$E$2:$E$11,MATCH($B$5,Dark_Stores_Clean!$B$2:$B$11,0)))</f>
        <v>2040</v>
      </c>
      <c r="F8" s="24"/>
      <c r="G8" s="25">
        <f>IF($B$5="All Stores",SUM(Dark_Stores_Clean!$G$2:$G$11),INDEX(Dark_Stores_Clean!$G$2:$G$11,MATCH($B$5,Dark_Stores_Clean!$B$2:$B$11,0)))</f>
        <v>118</v>
      </c>
      <c r="H8" s="24"/>
      <c r="I8" s="23">
        <f>IF($B$5="All Stores",SUM(Dark_Stores_Clean!$H$2:$H$11),INDEX(Dark_Stores_Clean!$H$2:$H$11,MATCH($B$5,Dark_Stores_Clean!$B$2:$B$11,0)))</f>
        <v>7690</v>
      </c>
      <c r="J8" s="24"/>
      <c r="K8" s="26">
        <f>IF($B$5="All Stores",SUM(Dark_Stores_Clean!$F$2:$F$11)/SUM(Dark_Stores_Clean!$E$2:$E$11),INDEX(Dark_Stores_Clean!$F$2:$F$11,MATCH($B$5,Dark_Stores_Clean!$B$2:$B$11,0))/INDEX(Dark_Stores_Clean!$E$2:$E$11,MATCH($B$5,Dark_Stores_Clean!$B$2:$B$11,0)))</f>
        <v>85.196078431372555</v>
      </c>
      <c r="L8" s="24"/>
    </row>
    <row r="9" spans="1:12" ht="22.0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1:12" ht="22.0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22.05" customHeight="1" x14ac:dyDescent="0.3">
      <c r="A11" s="36" t="s">
        <v>10</v>
      </c>
      <c r="B11" s="42"/>
      <c r="C11" s="42"/>
      <c r="D11" s="42"/>
      <c r="E11" s="42"/>
      <c r="F11" s="42"/>
      <c r="G11" s="36" t="s">
        <v>11</v>
      </c>
      <c r="H11" s="42"/>
      <c r="I11" s="42"/>
      <c r="J11" s="42"/>
      <c r="K11" s="42"/>
      <c r="L11" s="42"/>
    </row>
    <row r="12" spans="1:12" ht="22.05" customHeight="1" x14ac:dyDescent="0.3">
      <c r="A12" s="7" t="s">
        <v>12</v>
      </c>
      <c r="B12" s="7" t="s">
        <v>13</v>
      </c>
      <c r="C12" s="7" t="s">
        <v>14</v>
      </c>
      <c r="D12" s="7" t="s">
        <v>15</v>
      </c>
      <c r="E12" s="7" t="s">
        <v>16</v>
      </c>
      <c r="F12" s="5"/>
      <c r="G12" s="5"/>
      <c r="H12" s="5"/>
      <c r="I12" s="5"/>
      <c r="J12" s="5"/>
      <c r="K12" s="5"/>
      <c r="L12" s="5"/>
    </row>
    <row r="13" spans="1:12" ht="22.05" customHeight="1" x14ac:dyDescent="0.3">
      <c r="A13" s="8" t="str">
        <f>IF($B$5="All Stores",Dark_Stores_Clean!B2,IF(ROW()-12=1,$B$5,""))</f>
        <v>Sector 18 Hub</v>
      </c>
      <c r="B13" s="9">
        <f>IF($A13="","",INDEX(Dark_Stores_Clean!F$2:F$11,MATCH($A13,Dark_Stores_Clean!B$2:B$11,0)))</f>
        <v>178000</v>
      </c>
      <c r="C13" s="10">
        <f>IF($A13="","",INDEX(Dashboard_Data!J$2:J$11,MATCH($A13,Dashboard_Data!B$2:B$11,0)))</f>
        <v>80.91</v>
      </c>
      <c r="D13" s="11">
        <f>IF($A13="","",INDEX(Dark_Stores_Clean!H$2:H$11,MATCH($A13,Dark_Stores_Clean!B$2:B$11,0)))</f>
        <v>900</v>
      </c>
      <c r="E13" s="12">
        <f>IF($A13="","",INDEX(Dark_Stores_Clean!G$2:G$11,MATCH($A13,Dark_Stores_Clean!B$2:B$11,0)))</f>
        <v>14</v>
      </c>
      <c r="F13" s="5"/>
      <c r="G13" s="5"/>
      <c r="H13" s="5"/>
      <c r="I13" s="5"/>
      <c r="J13" s="5"/>
      <c r="K13" s="5"/>
      <c r="L13" s="5"/>
    </row>
    <row r="14" spans="1:12" ht="22.05" customHeight="1" x14ac:dyDescent="0.3">
      <c r="A14" s="13" t="str">
        <f>IF($B$5="All Stores",Dark_Stores_Clean!B3,IF(ROW()-12=1,$B$5,""))</f>
        <v>Sector 62 Express</v>
      </c>
      <c r="B14" s="14">
        <f>IF($A14="","",INDEX(Dark_Stores_Clean!F$2:F$11,MATCH($A14,Dark_Stores_Clean!B$2:B$11,0)))</f>
        <v>162000</v>
      </c>
      <c r="C14" s="15">
        <f>IF($A14="","",INDEX(Dashboard_Data!J$2:J$11,MATCH($A14,Dashboard_Data!B$2:B$11,0)))</f>
        <v>85.26</v>
      </c>
      <c r="D14" s="16">
        <f>IF($A14="","",INDEX(Dark_Stores_Clean!H$2:H$11,MATCH($A14,Dark_Stores_Clean!B$2:B$11,0)))</f>
        <v>800</v>
      </c>
      <c r="E14" s="17">
        <f>IF($A14="","",INDEX(Dark_Stores_Clean!G$2:G$11,MATCH($A14,Dark_Stores_Clean!B$2:B$11,0)))</f>
        <v>12</v>
      </c>
      <c r="F14" s="5"/>
      <c r="G14" s="5"/>
      <c r="H14" s="5"/>
      <c r="I14" s="5"/>
      <c r="J14" s="5"/>
      <c r="K14" s="5"/>
      <c r="L14" s="5"/>
    </row>
    <row r="15" spans="1:12" ht="22.05" customHeight="1" x14ac:dyDescent="0.3">
      <c r="A15" s="8" t="str">
        <f>IF($B$5="All Stores",Dark_Stores_Clean!B4,IF(ROW()-12=1,$B$5,""))</f>
        <v>Sector 137 Riverside</v>
      </c>
      <c r="B15" s="9">
        <f>IF($A15="","",INDEX(Dark_Stores_Clean!F$2:F$11,MATCH($A15,Dark_Stores_Clean!B$2:B$11,0)))</f>
        <v>196000</v>
      </c>
      <c r="C15" s="10">
        <f>IF($A15="","",INDEX(Dashboard_Data!J$2:J$11,MATCH($A15,Dashboard_Data!B$2:B$11,0)))</f>
        <v>93.33</v>
      </c>
      <c r="D15" s="11">
        <f>IF($A15="","",INDEX(Dark_Stores_Clean!H$2:H$11,MATCH($A15,Dark_Stores_Clean!B$2:B$11,0)))</f>
        <v>850</v>
      </c>
      <c r="E15" s="12">
        <f>IF($A15="","",INDEX(Dark_Stores_Clean!G$2:G$11,MATCH($A15,Dark_Stores_Clean!B$2:B$11,0)))</f>
        <v>13</v>
      </c>
      <c r="F15" s="5"/>
      <c r="G15" s="5"/>
      <c r="H15" s="5"/>
      <c r="I15" s="5"/>
      <c r="J15" s="5"/>
      <c r="K15" s="5"/>
      <c r="L15" s="5"/>
    </row>
    <row r="16" spans="1:12" ht="22.05" customHeight="1" x14ac:dyDescent="0.3">
      <c r="A16" s="13" t="str">
        <f>IF($B$5="All Stores",Dark_Stores_Clean!B5,IF(ROW()-12=1,$B$5,""))</f>
        <v>Greater Noida Alpha</v>
      </c>
      <c r="B16" s="14">
        <f>IF($A16="","",INDEX(Dark_Stores_Clean!F$2:F$11,MATCH($A16,Dark_Stores_Clean!B$2:B$11,0)))</f>
        <v>152000</v>
      </c>
      <c r="C16" s="15">
        <f>IF($A16="","",INDEX(Dashboard_Data!J$2:J$11,MATCH($A16,Dashboard_Data!B$2:B$11,0)))</f>
        <v>76</v>
      </c>
      <c r="D16" s="16">
        <f>IF($A16="","",INDEX(Dark_Stores_Clean!H$2:H$11,MATCH($A16,Dark_Stores_Clean!B$2:B$11,0)))</f>
        <v>820</v>
      </c>
      <c r="E16" s="17">
        <f>IF($A16="","",INDEX(Dark_Stores_Clean!G$2:G$11,MATCH($A16,Dark_Stores_Clean!B$2:B$11,0)))</f>
        <v>12</v>
      </c>
      <c r="F16" s="5"/>
      <c r="G16" s="5"/>
      <c r="H16" s="5"/>
      <c r="I16" s="5"/>
      <c r="J16" s="5"/>
      <c r="K16" s="5"/>
      <c r="L16" s="5"/>
    </row>
    <row r="17" spans="1:12" ht="22.05" customHeight="1" x14ac:dyDescent="0.3">
      <c r="A17" s="8" t="str">
        <f>IF($B$5="All Stores",Dark_Stores_Clean!B6,IF(ROW()-12=1,$B$5,""))</f>
        <v>Sector 76 Central</v>
      </c>
      <c r="B17" s="9">
        <f>IF($A17="","",INDEX(Dark_Stores_Clean!F$2:F$11,MATCH($A17,Dark_Stores_Clean!B$2:B$11,0)))</f>
        <v>181000</v>
      </c>
      <c r="C17" s="10">
        <f>IF($A17="","",INDEX(Dashboard_Data!J$2:J$11,MATCH($A17,Dashboard_Data!B$2:B$11,0)))</f>
        <v>100.56</v>
      </c>
      <c r="D17" s="11">
        <f>IF($A17="","",INDEX(Dark_Stores_Clean!H$2:H$11,MATCH($A17,Dark_Stores_Clean!B$2:B$11,0)))</f>
        <v>700</v>
      </c>
      <c r="E17" s="12">
        <f>IF($A17="","",INDEX(Dark_Stores_Clean!G$2:G$11,MATCH($A17,Dark_Stores_Clean!B$2:B$11,0)))</f>
        <v>11</v>
      </c>
      <c r="F17" s="5"/>
      <c r="G17" s="5"/>
      <c r="H17" s="5"/>
      <c r="I17" s="5"/>
      <c r="J17" s="5"/>
      <c r="K17" s="5"/>
      <c r="L17" s="5"/>
    </row>
    <row r="18" spans="1:12" ht="22.05" customHeight="1" x14ac:dyDescent="0.3">
      <c r="A18" s="13" t="str">
        <f>IF($B$5="All Stores",Dark_Stores_Clean!B7,IF(ROW()-12=1,$B$5,""))</f>
        <v>Noida Extension North</v>
      </c>
      <c r="B18" s="14">
        <f>IF($A18="","",INDEX(Dark_Stores_Clean!F$2:F$11,MATCH($A18,Dark_Stores_Clean!B$2:B$11,0)))</f>
        <v>158000</v>
      </c>
      <c r="C18" s="15">
        <f>IF($A18="","",INDEX(Dashboard_Data!J$2:J$11,MATCH($A18,Dashboard_Data!B$2:B$11,0)))</f>
        <v>68.7</v>
      </c>
      <c r="D18" s="16">
        <f>IF($A18="","",INDEX(Dark_Stores_Clean!H$2:H$11,MATCH($A18,Dark_Stores_Clean!B$2:B$11,0)))</f>
        <v>950</v>
      </c>
      <c r="E18" s="17">
        <f>IF($A18="","",INDEX(Dark_Stores_Clean!G$2:G$11,MATCH($A18,Dark_Stores_Clean!B$2:B$11,0)))</f>
        <v>15</v>
      </c>
      <c r="F18" s="5"/>
      <c r="G18" s="5"/>
      <c r="H18" s="5"/>
      <c r="I18" s="5"/>
      <c r="J18" s="5"/>
      <c r="K18" s="5"/>
      <c r="L18" s="5"/>
    </row>
    <row r="19" spans="1:12" ht="22.05" customHeight="1" x14ac:dyDescent="0.3">
      <c r="A19" s="8" t="str">
        <f>IF($B$5="All Stores",Dark_Stores_Clean!B8,IF(ROW()-12=1,$B$5,""))</f>
        <v>Sector 44 Metro</v>
      </c>
      <c r="B19" s="9">
        <f>IF($A19="","",INDEX(Dark_Stores_Clean!F$2:F$11,MATCH($A19,Dark_Stores_Clean!B$2:B$11,0)))</f>
        <v>228000</v>
      </c>
      <c r="C19" s="10">
        <f>IF($A19="","",INDEX(Dashboard_Data!J$2:J$11,MATCH($A19,Dashboard_Data!B$2:B$11,0)))</f>
        <v>95</v>
      </c>
      <c r="D19" s="11">
        <f>IF($A19="","",INDEX(Dark_Stores_Clean!H$2:H$11,MATCH($A19,Dark_Stores_Clean!B$2:B$11,0)))</f>
        <v>380</v>
      </c>
      <c r="E19" s="12">
        <f>IF($A19="","",INDEX(Dark_Stores_Clean!G$2:G$11,MATCH($A19,Dark_Stores_Clean!B$2:B$11,0)))</f>
        <v>16</v>
      </c>
      <c r="F19" s="5"/>
      <c r="G19" s="5"/>
      <c r="H19" s="5"/>
      <c r="I19" s="5"/>
      <c r="J19" s="5"/>
      <c r="K19" s="5"/>
      <c r="L19" s="5"/>
    </row>
    <row r="20" spans="1:12" ht="22.05" customHeight="1" x14ac:dyDescent="0.3">
      <c r="A20" s="13" t="str">
        <f>IF($B$5="All Stores",Dark_Stores_Clean!B9,IF(ROW()-12=1,$B$5,""))</f>
        <v>Sector 104 Gardens</v>
      </c>
      <c r="B20" s="14">
        <f>IF($A20="","",INDEX(Dark_Stores_Clean!F$2:F$11,MATCH($A20,Dark_Stores_Clean!B$2:B$11,0)))</f>
        <v>146000</v>
      </c>
      <c r="C20" s="15">
        <f>IF($A20="","",INDEX(Dashboard_Data!J$2:J$11,MATCH($A20,Dashboard_Data!B$2:B$11,0)))</f>
        <v>85.88</v>
      </c>
      <c r="D20" s="16">
        <f>IF($A20="","",INDEX(Dark_Stores_Clean!H$2:H$11,MATCH($A20,Dark_Stores_Clean!B$2:B$11,0)))</f>
        <v>700</v>
      </c>
      <c r="E20" s="17">
        <f>IF($A20="","",INDEX(Dark_Stores_Clean!G$2:G$11,MATCH($A20,Dark_Stores_Clean!B$2:B$11,0)))</f>
        <v>0</v>
      </c>
      <c r="F20" s="5"/>
      <c r="G20" s="5"/>
      <c r="H20" s="5"/>
      <c r="I20" s="5"/>
      <c r="J20" s="5"/>
      <c r="K20" s="5"/>
      <c r="L20" s="5"/>
    </row>
    <row r="21" spans="1:12" ht="22.05" customHeight="1" x14ac:dyDescent="0.3">
      <c r="A21" s="8" t="str">
        <f>IF($B$5="All Stores",Dark_Stores_Clean!B10,IF(ROW()-12=1,$B$5,""))</f>
        <v>Sector 150 Sports City</v>
      </c>
      <c r="B21" s="9">
        <f>IF($A21="","",INDEX(Dark_Stores_Clean!F$2:F$11,MATCH($A21,Dark_Stores_Clean!B$2:B$11,0)))</f>
        <v>172000</v>
      </c>
      <c r="C21" s="10">
        <f>IF($A21="","",INDEX(Dashboard_Data!J$2:J$11,MATCH($A21,Dashboard_Data!B$2:B$11,0)))</f>
        <v>80</v>
      </c>
      <c r="D21" s="11">
        <f>IF($A21="","",INDEX(Dark_Stores_Clean!H$2:H$11,MATCH($A21,Dark_Stores_Clean!B$2:B$11,0)))</f>
        <v>830</v>
      </c>
      <c r="E21" s="12">
        <f>IF($A21="","",INDEX(Dark_Stores_Clean!G$2:G$11,MATCH($A21,Dark_Stores_Clean!B$2:B$11,0)))</f>
        <v>13</v>
      </c>
      <c r="F21" s="5"/>
      <c r="G21" s="5"/>
      <c r="H21" s="5"/>
      <c r="I21" s="5"/>
      <c r="J21" s="5"/>
      <c r="K21" s="5"/>
      <c r="L21" s="5"/>
    </row>
    <row r="22" spans="1:12" ht="22.05" customHeight="1" x14ac:dyDescent="0.3">
      <c r="A22" s="13" t="str">
        <f>IF($B$5="All Stores",Dark_Stores_Clean!B11,IF(ROW()-12=1,$B$5,""))</f>
        <v>Sector 51 Junction</v>
      </c>
      <c r="B22" s="14">
        <f>IF($A22="","",INDEX(Dark_Stores_Clean!F$2:F$11,MATCH($A22,Dark_Stores_Clean!B$2:B$11,0)))</f>
        <v>165000</v>
      </c>
      <c r="C22" s="15">
        <f>IF($A22="","",INDEX(Dashboard_Data!J$2:J$11,MATCH($A22,Dashboard_Data!B$2:B$11,0)))</f>
        <v>89.19</v>
      </c>
      <c r="D22" s="16">
        <f>IF($A22="","",INDEX(Dark_Stores_Clean!H$2:H$11,MATCH($A22,Dark_Stores_Clean!B$2:B$11,0)))</f>
        <v>760</v>
      </c>
      <c r="E22" s="17">
        <f>IF($A22="","",INDEX(Dark_Stores_Clean!G$2:G$11,MATCH($A22,Dark_Stores_Clean!B$2:B$11,0)))</f>
        <v>12</v>
      </c>
      <c r="F22" s="5"/>
      <c r="G22" s="5"/>
      <c r="H22" s="5"/>
      <c r="I22" s="5"/>
      <c r="J22" s="5"/>
      <c r="K22" s="5"/>
      <c r="L22" s="5"/>
    </row>
    <row r="23" spans="1:12" ht="22.0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22.0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22.0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22.0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2.0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22.0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2.0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22.0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2.0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22.0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22.0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2.0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2.0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22.0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22.0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2.05" customHeight="1" x14ac:dyDescent="0.3">
      <c r="A38" s="36" t="s">
        <v>17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22.05" customHeight="1" x14ac:dyDescent="0.3">
      <c r="A39" s="49" t="s">
        <v>18</v>
      </c>
      <c r="B39" s="49"/>
      <c r="C39" s="49"/>
      <c r="D39" s="49"/>
      <c r="E39" s="49"/>
      <c r="F39" s="49"/>
      <c r="G39" s="49" t="s">
        <v>19</v>
      </c>
      <c r="H39" s="49"/>
      <c r="I39" s="49"/>
      <c r="J39" s="49"/>
      <c r="K39" s="49"/>
      <c r="L39" s="49"/>
    </row>
    <row r="40" spans="1:12" ht="22.05" customHeight="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22.0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</row>
    <row r="42" spans="1:12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3">
      <c r="A43" s="40" t="s">
        <v>20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spans="1:12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</sheetData>
  <mergeCells count="21">
    <mergeCell ref="A1:L2"/>
    <mergeCell ref="A38:L38"/>
    <mergeCell ref="B5:D5"/>
    <mergeCell ref="A43:L43"/>
    <mergeCell ref="E8:F9"/>
    <mergeCell ref="G8:H9"/>
    <mergeCell ref="A11:F11"/>
    <mergeCell ref="K7:L7"/>
    <mergeCell ref="G11:L11"/>
    <mergeCell ref="C7:D7"/>
    <mergeCell ref="E7:F7"/>
    <mergeCell ref="A39:F41"/>
    <mergeCell ref="G39:L41"/>
    <mergeCell ref="A3:L3"/>
    <mergeCell ref="I8:J9"/>
    <mergeCell ref="A8:B9"/>
    <mergeCell ref="K8:L9"/>
    <mergeCell ref="C8:D9"/>
    <mergeCell ref="A7:B7"/>
    <mergeCell ref="G7:H7"/>
    <mergeCell ref="I7:J7"/>
  </mergeCells>
  <conditionalFormatting sqref="C13:C22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  <cfRule type="colorScale" priority="2">
      <colorScale>
        <cfvo type="min"/>
        <cfvo type="percentile" val="50"/>
        <cfvo type="max"/>
        <color rgb="FFD9F2E6"/>
        <color rgb="FFFFF1C7"/>
        <color rgb="FFFFD6D6"/>
      </colorScale>
    </cfRule>
  </conditionalFormatting>
  <dataValidations count="1">
    <dataValidation type="list" errorTitle="Invalid store" error="Please select a store from the dropdown." promptTitle="Store Filter" prompt="Choose All Stores or a specific store." sqref="B5" xr:uid="{00000000-0002-0000-0000-000000000000}">
      <formula1>"All Stores,Sector 18 Hub,Sector 62 Express,Sector 137 Riverside,Greater Noida Alpha,Sector 76 Central,Noida Extension North,Sector 44 Metro,Sector 104 Gardens,Sector 150 Sports City,Sector 51 Junction"</formula1>
    </dataValidation>
  </dataValidations>
  <pageMargins left="0.2" right="0.2" top="0.3" bottom="0.3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23B5D"/>
  </sheetPr>
  <dimension ref="A1:L25"/>
  <sheetViews>
    <sheetView showGridLines="0" workbookViewId="0"/>
  </sheetViews>
  <sheetFormatPr defaultRowHeight="14.4" x14ac:dyDescent="0.3"/>
  <cols>
    <col min="1" max="1" width="28" customWidth="1"/>
    <col min="2" max="12" width="15" customWidth="1"/>
  </cols>
  <sheetData>
    <row r="1" spans="1:12" x14ac:dyDescent="0.3">
      <c r="A1" s="5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1:12" x14ac:dyDescent="0.3">
      <c r="A4" s="50" t="s">
        <v>4</v>
      </c>
      <c r="B4" s="41"/>
      <c r="C4" s="50" t="s">
        <v>21</v>
      </c>
      <c r="D4" s="41"/>
      <c r="E4" s="50" t="s">
        <v>22</v>
      </c>
      <c r="F4" s="41"/>
      <c r="G4" s="50" t="s">
        <v>7</v>
      </c>
      <c r="H4" s="41"/>
      <c r="I4" s="50" t="s">
        <v>23</v>
      </c>
      <c r="J4" s="41"/>
    </row>
    <row r="5" spans="1:12" x14ac:dyDescent="0.3">
      <c r="A5" s="53">
        <v>10</v>
      </c>
      <c r="B5" s="41"/>
      <c r="C5" s="52">
        <v>1738000</v>
      </c>
      <c r="D5" s="41"/>
      <c r="E5" s="54">
        <v>2040</v>
      </c>
      <c r="F5" s="41"/>
      <c r="G5" s="53">
        <v>118</v>
      </c>
      <c r="H5" s="41"/>
      <c r="I5" s="53">
        <v>7690</v>
      </c>
      <c r="J5" s="41"/>
    </row>
    <row r="6" spans="1:12" x14ac:dyDescent="0.3">
      <c r="A6" s="41"/>
      <c r="B6" s="41"/>
      <c r="C6" s="41"/>
      <c r="D6" s="41"/>
      <c r="E6" s="41"/>
      <c r="F6" s="41"/>
      <c r="G6" s="41"/>
      <c r="H6" s="41"/>
      <c r="I6" s="41"/>
      <c r="J6" s="41"/>
    </row>
    <row r="9" spans="1:12" x14ac:dyDescent="0.3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</row>
    <row r="10" spans="1:12" x14ac:dyDescent="0.3">
      <c r="A10" t="s">
        <v>24</v>
      </c>
      <c r="B10" s="2">
        <v>178000</v>
      </c>
      <c r="C10">
        <f>ROUND(B10/Dashboard_Data!E2,2)</f>
        <v>80.91</v>
      </c>
      <c r="D10">
        <v>900</v>
      </c>
      <c r="E10">
        <v>14</v>
      </c>
    </row>
    <row r="11" spans="1:12" x14ac:dyDescent="0.3">
      <c r="A11" t="s">
        <v>25</v>
      </c>
      <c r="B11" s="2">
        <v>162000</v>
      </c>
      <c r="C11">
        <f>ROUND(B11/Dashboard_Data!E3,2)</f>
        <v>85.26</v>
      </c>
      <c r="D11">
        <v>800</v>
      </c>
      <c r="E11">
        <v>12</v>
      </c>
    </row>
    <row r="12" spans="1:12" x14ac:dyDescent="0.3">
      <c r="A12" t="s">
        <v>26</v>
      </c>
      <c r="B12" s="2">
        <v>196000</v>
      </c>
      <c r="C12">
        <f>ROUND(B12/Dashboard_Data!E4,2)</f>
        <v>93.33</v>
      </c>
      <c r="D12">
        <v>850</v>
      </c>
      <c r="E12">
        <v>13</v>
      </c>
    </row>
    <row r="13" spans="1:12" x14ac:dyDescent="0.3">
      <c r="A13" t="s">
        <v>27</v>
      </c>
      <c r="B13" s="2">
        <v>152000</v>
      </c>
      <c r="C13">
        <f>ROUND(B13/Dashboard_Data!E5,2)</f>
        <v>76</v>
      </c>
      <c r="D13">
        <v>820</v>
      </c>
      <c r="E13">
        <v>12</v>
      </c>
    </row>
    <row r="14" spans="1:12" x14ac:dyDescent="0.3">
      <c r="A14" t="s">
        <v>28</v>
      </c>
      <c r="B14" s="2">
        <v>181000</v>
      </c>
      <c r="C14">
        <f>ROUND(B14/Dashboard_Data!E6,2)</f>
        <v>100.56</v>
      </c>
      <c r="D14">
        <v>700</v>
      </c>
      <c r="E14">
        <v>11</v>
      </c>
    </row>
    <row r="15" spans="1:12" x14ac:dyDescent="0.3">
      <c r="A15" t="s">
        <v>29</v>
      </c>
      <c r="B15" s="2">
        <v>158000</v>
      </c>
      <c r="C15">
        <f>ROUND(B15/Dashboard_Data!E7,2)</f>
        <v>68.7</v>
      </c>
      <c r="D15">
        <v>950</v>
      </c>
      <c r="E15">
        <v>15</v>
      </c>
    </row>
    <row r="16" spans="1:12" x14ac:dyDescent="0.3">
      <c r="A16" t="s">
        <v>30</v>
      </c>
      <c r="B16" s="2">
        <v>228000</v>
      </c>
      <c r="C16">
        <f>ROUND(B16/Dashboard_Data!E8,2)</f>
        <v>95</v>
      </c>
      <c r="D16">
        <v>380</v>
      </c>
      <c r="E16">
        <v>16</v>
      </c>
    </row>
    <row r="17" spans="1:5" x14ac:dyDescent="0.3">
      <c r="A17" t="s">
        <v>31</v>
      </c>
      <c r="B17" s="2">
        <v>146000</v>
      </c>
      <c r="C17">
        <f>ROUND(B17/Dashboard_Data!E9,2)</f>
        <v>85.88</v>
      </c>
      <c r="D17">
        <v>700</v>
      </c>
    </row>
    <row r="18" spans="1:5" x14ac:dyDescent="0.3">
      <c r="A18" t="s">
        <v>32</v>
      </c>
      <c r="B18" s="2">
        <v>172000</v>
      </c>
      <c r="C18">
        <f>ROUND(B18/Dashboard_Data!E10,2)</f>
        <v>80</v>
      </c>
      <c r="D18">
        <v>830</v>
      </c>
      <c r="E18">
        <v>13</v>
      </c>
    </row>
    <row r="19" spans="1:5" x14ac:dyDescent="0.3">
      <c r="A19" t="s">
        <v>33</v>
      </c>
      <c r="B19" s="2">
        <v>165000</v>
      </c>
      <c r="C19">
        <f>ROUND(B19/Dashboard_Data!E11,2)</f>
        <v>89.19</v>
      </c>
      <c r="D19">
        <v>760</v>
      </c>
      <c r="E19">
        <v>12</v>
      </c>
    </row>
    <row r="22" spans="1:5" x14ac:dyDescent="0.3">
      <c r="A22" s="55" t="s">
        <v>34</v>
      </c>
      <c r="B22" s="41"/>
      <c r="C22" s="41"/>
      <c r="D22" s="41"/>
      <c r="E22" s="41"/>
    </row>
    <row r="23" spans="1:5" x14ac:dyDescent="0.3">
      <c r="A23" s="41"/>
      <c r="B23" s="41"/>
      <c r="C23" s="41"/>
      <c r="D23" s="41"/>
      <c r="E23" s="41"/>
    </row>
    <row r="24" spans="1:5" x14ac:dyDescent="0.3">
      <c r="A24" s="41"/>
      <c r="B24" s="41"/>
      <c r="C24" s="41"/>
      <c r="D24" s="41"/>
      <c r="E24" s="41"/>
    </row>
    <row r="25" spans="1:5" x14ac:dyDescent="0.3">
      <c r="A25" s="41"/>
      <c r="B25" s="41"/>
      <c r="C25" s="41"/>
      <c r="D25" s="41"/>
      <c r="E25" s="41"/>
    </row>
  </sheetData>
  <mergeCells count="12">
    <mergeCell ref="A22:E25"/>
    <mergeCell ref="C4:D4"/>
    <mergeCell ref="C5:D6"/>
    <mergeCell ref="A5:B6"/>
    <mergeCell ref="G5:H6"/>
    <mergeCell ref="E5:F6"/>
    <mergeCell ref="I5:J6"/>
    <mergeCell ref="A4:B4"/>
    <mergeCell ref="G4:H4"/>
    <mergeCell ref="E4:F4"/>
    <mergeCell ref="I4:J4"/>
    <mergeCell ref="A1:L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6A6"/>
  </sheetPr>
  <dimension ref="A1:I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23" customWidth="1"/>
    <col min="9" max="9" width="12" customWidth="1"/>
    <col min="10" max="11" width="18" customWidth="1"/>
  </cols>
  <sheetData>
    <row r="1" spans="1:9" x14ac:dyDescent="0.3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</row>
    <row r="2" spans="1:9" x14ac:dyDescent="0.3">
      <c r="A2" s="19" t="s">
        <v>44</v>
      </c>
      <c r="B2" s="19" t="s">
        <v>24</v>
      </c>
      <c r="C2" s="19" t="s">
        <v>45</v>
      </c>
      <c r="D2" s="19" t="s">
        <v>46</v>
      </c>
      <c r="E2" s="19">
        <v>2200</v>
      </c>
      <c r="F2" s="19">
        <v>178000</v>
      </c>
      <c r="G2" s="19">
        <v>14</v>
      </c>
      <c r="H2" s="19">
        <v>900</v>
      </c>
      <c r="I2" s="19" t="s">
        <v>47</v>
      </c>
    </row>
    <row r="3" spans="1:9" x14ac:dyDescent="0.3">
      <c r="A3" s="20" t="s">
        <v>48</v>
      </c>
      <c r="B3" s="20" t="s">
        <v>25</v>
      </c>
      <c r="C3" s="20" t="s">
        <v>49</v>
      </c>
      <c r="D3" s="20" t="s">
        <v>50</v>
      </c>
      <c r="E3" s="20">
        <v>1900</v>
      </c>
      <c r="F3" s="20">
        <v>162000</v>
      </c>
      <c r="G3" s="20">
        <v>12</v>
      </c>
      <c r="H3" s="20">
        <v>800</v>
      </c>
      <c r="I3" s="20" t="s">
        <v>47</v>
      </c>
    </row>
    <row r="4" spans="1:9" x14ac:dyDescent="0.3">
      <c r="A4" s="19" t="s">
        <v>51</v>
      </c>
      <c r="B4" s="19" t="s">
        <v>26</v>
      </c>
      <c r="C4" s="19" t="s">
        <v>52</v>
      </c>
      <c r="D4" s="19" t="s">
        <v>53</v>
      </c>
      <c r="E4" s="19">
        <v>2100</v>
      </c>
      <c r="F4" s="19">
        <v>196000</v>
      </c>
      <c r="G4" s="19">
        <v>13</v>
      </c>
      <c r="H4" s="19">
        <v>850</v>
      </c>
      <c r="I4" s="19" t="s">
        <v>47</v>
      </c>
    </row>
    <row r="5" spans="1:9" x14ac:dyDescent="0.3">
      <c r="A5" s="20" t="s">
        <v>54</v>
      </c>
      <c r="B5" s="20" t="s">
        <v>27</v>
      </c>
      <c r="C5" s="20" t="s">
        <v>55</v>
      </c>
      <c r="D5" s="20" t="s">
        <v>56</v>
      </c>
      <c r="E5" s="20">
        <v>2000</v>
      </c>
      <c r="F5" s="20">
        <v>152000</v>
      </c>
      <c r="G5" s="20">
        <v>12</v>
      </c>
      <c r="H5" s="20">
        <v>820</v>
      </c>
      <c r="I5" s="20" t="s">
        <v>47</v>
      </c>
    </row>
    <row r="6" spans="1:9" x14ac:dyDescent="0.3">
      <c r="A6" s="19" t="s">
        <v>57</v>
      </c>
      <c r="B6" s="19" t="s">
        <v>28</v>
      </c>
      <c r="C6" s="19" t="s">
        <v>58</v>
      </c>
      <c r="D6" s="19" t="s">
        <v>59</v>
      </c>
      <c r="E6" s="19">
        <v>1800</v>
      </c>
      <c r="F6" s="19">
        <v>181000</v>
      </c>
      <c r="G6" s="19">
        <v>11</v>
      </c>
      <c r="H6" s="19">
        <v>700</v>
      </c>
      <c r="I6" s="19" t="s">
        <v>47</v>
      </c>
    </row>
    <row r="7" spans="1:9" x14ac:dyDescent="0.3">
      <c r="A7" s="20" t="s">
        <v>60</v>
      </c>
      <c r="B7" s="20" t="s">
        <v>29</v>
      </c>
      <c r="C7" s="20" t="s">
        <v>61</v>
      </c>
      <c r="D7" s="20" t="s">
        <v>62</v>
      </c>
      <c r="E7" s="20">
        <v>2300</v>
      </c>
      <c r="F7" s="20">
        <v>158000</v>
      </c>
      <c r="G7" s="20">
        <v>15</v>
      </c>
      <c r="H7" s="20">
        <v>950</v>
      </c>
      <c r="I7" s="20" t="s">
        <v>47</v>
      </c>
    </row>
    <row r="8" spans="1:9" x14ac:dyDescent="0.3">
      <c r="A8" s="19" t="s">
        <v>63</v>
      </c>
      <c r="B8" s="19" t="s">
        <v>30</v>
      </c>
      <c r="C8" s="19" t="s">
        <v>64</v>
      </c>
      <c r="D8" s="19" t="s">
        <v>65</v>
      </c>
      <c r="E8" s="19">
        <v>2400</v>
      </c>
      <c r="F8" s="19">
        <v>228000</v>
      </c>
      <c r="G8" s="19">
        <v>16</v>
      </c>
      <c r="H8" s="19">
        <v>380</v>
      </c>
      <c r="I8" s="19" t="s">
        <v>47</v>
      </c>
    </row>
    <row r="9" spans="1:9" x14ac:dyDescent="0.3">
      <c r="A9" s="20" t="s">
        <v>66</v>
      </c>
      <c r="B9" s="20" t="s">
        <v>31</v>
      </c>
      <c r="C9" s="20" t="s">
        <v>58</v>
      </c>
      <c r="D9" s="20" t="s">
        <v>67</v>
      </c>
      <c r="E9" s="20">
        <v>1700</v>
      </c>
      <c r="F9" s="20">
        <v>146000</v>
      </c>
      <c r="G9" s="20"/>
      <c r="H9" s="20">
        <v>700</v>
      </c>
      <c r="I9" s="20" t="s">
        <v>47</v>
      </c>
    </row>
    <row r="10" spans="1:9" x14ac:dyDescent="0.3">
      <c r="A10" s="19" t="s">
        <v>68</v>
      </c>
      <c r="B10" s="19" t="s">
        <v>32</v>
      </c>
      <c r="C10" s="19" t="s">
        <v>55</v>
      </c>
      <c r="D10" s="19" t="s">
        <v>46</v>
      </c>
      <c r="E10" s="19">
        <v>2150</v>
      </c>
      <c r="F10" s="19">
        <v>172000</v>
      </c>
      <c r="G10" s="19">
        <v>13</v>
      </c>
      <c r="H10" s="19">
        <v>830</v>
      </c>
      <c r="I10" s="19" t="s">
        <v>47</v>
      </c>
    </row>
    <row r="11" spans="1:9" x14ac:dyDescent="0.3">
      <c r="A11" s="20" t="s">
        <v>69</v>
      </c>
      <c r="B11" s="20" t="s">
        <v>33</v>
      </c>
      <c r="C11" s="20" t="s">
        <v>45</v>
      </c>
      <c r="D11" s="20" t="s">
        <v>70</v>
      </c>
      <c r="E11" s="20">
        <v>1850</v>
      </c>
      <c r="F11" s="20">
        <v>165000</v>
      </c>
      <c r="G11" s="20">
        <v>12</v>
      </c>
      <c r="H11" s="20">
        <v>760</v>
      </c>
      <c r="I11" s="20" t="s">
        <v>47</v>
      </c>
    </row>
  </sheetData>
  <autoFilter ref="A1:I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61FF"/>
  </sheetPr>
  <dimension ref="A1:K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23" customWidth="1"/>
    <col min="9" max="9" width="12" customWidth="1"/>
    <col min="10" max="10" width="19" customWidth="1"/>
    <col min="11" max="11" width="23" customWidth="1"/>
  </cols>
  <sheetData>
    <row r="1" spans="1:11" x14ac:dyDescent="0.3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71</v>
      </c>
      <c r="K1" s="18" t="s">
        <v>72</v>
      </c>
    </row>
    <row r="2" spans="1:11" x14ac:dyDescent="0.3">
      <c r="A2" s="19" t="s">
        <v>44</v>
      </c>
      <c r="B2" s="19" t="s">
        <v>24</v>
      </c>
      <c r="C2" s="19" t="s">
        <v>45</v>
      </c>
      <c r="D2" s="19" t="s">
        <v>46</v>
      </c>
      <c r="E2" s="19">
        <v>2200</v>
      </c>
      <c r="F2" s="19">
        <v>178000</v>
      </c>
      <c r="G2" s="19">
        <v>14</v>
      </c>
      <c r="H2" s="19">
        <v>900</v>
      </c>
      <c r="I2" s="19" t="s">
        <v>47</v>
      </c>
      <c r="J2" s="19">
        <f t="shared" ref="J2:J11" si="0">ROUND(F2/E2,2)</f>
        <v>80.91</v>
      </c>
      <c r="K2" s="19">
        <f t="shared" ref="K2:K11" si="1">ROUND(H2/E2*100,2)</f>
        <v>40.909999999999997</v>
      </c>
    </row>
    <row r="3" spans="1:11" x14ac:dyDescent="0.3">
      <c r="A3" s="20" t="s">
        <v>48</v>
      </c>
      <c r="B3" s="20" t="s">
        <v>25</v>
      </c>
      <c r="C3" s="20" t="s">
        <v>49</v>
      </c>
      <c r="D3" s="20" t="s">
        <v>50</v>
      </c>
      <c r="E3" s="20">
        <v>1900</v>
      </c>
      <c r="F3" s="20">
        <v>162000</v>
      </c>
      <c r="G3" s="20">
        <v>12</v>
      </c>
      <c r="H3" s="20">
        <v>800</v>
      </c>
      <c r="I3" s="20" t="s">
        <v>47</v>
      </c>
      <c r="J3" s="20">
        <f t="shared" si="0"/>
        <v>85.26</v>
      </c>
      <c r="K3" s="20">
        <f t="shared" si="1"/>
        <v>42.11</v>
      </c>
    </row>
    <row r="4" spans="1:11" x14ac:dyDescent="0.3">
      <c r="A4" s="19" t="s">
        <v>51</v>
      </c>
      <c r="B4" s="19" t="s">
        <v>26</v>
      </c>
      <c r="C4" s="19" t="s">
        <v>52</v>
      </c>
      <c r="D4" s="19" t="s">
        <v>53</v>
      </c>
      <c r="E4" s="19">
        <v>2100</v>
      </c>
      <c r="F4" s="19">
        <v>196000</v>
      </c>
      <c r="G4" s="19">
        <v>13</v>
      </c>
      <c r="H4" s="19">
        <v>850</v>
      </c>
      <c r="I4" s="19" t="s">
        <v>47</v>
      </c>
      <c r="J4" s="19">
        <f t="shared" si="0"/>
        <v>93.33</v>
      </c>
      <c r="K4" s="19">
        <f t="shared" si="1"/>
        <v>40.479999999999997</v>
      </c>
    </row>
    <row r="5" spans="1:11" x14ac:dyDescent="0.3">
      <c r="A5" s="20" t="s">
        <v>54</v>
      </c>
      <c r="B5" s="20" t="s">
        <v>27</v>
      </c>
      <c r="C5" s="20" t="s">
        <v>55</v>
      </c>
      <c r="D5" s="20" t="s">
        <v>56</v>
      </c>
      <c r="E5" s="20">
        <v>2000</v>
      </c>
      <c r="F5" s="20">
        <v>152000</v>
      </c>
      <c r="G5" s="20">
        <v>12</v>
      </c>
      <c r="H5" s="20">
        <v>820</v>
      </c>
      <c r="I5" s="20" t="s">
        <v>47</v>
      </c>
      <c r="J5" s="20">
        <f t="shared" si="0"/>
        <v>76</v>
      </c>
      <c r="K5" s="20">
        <f t="shared" si="1"/>
        <v>41</v>
      </c>
    </row>
    <row r="6" spans="1:11" x14ac:dyDescent="0.3">
      <c r="A6" s="19" t="s">
        <v>57</v>
      </c>
      <c r="B6" s="19" t="s">
        <v>28</v>
      </c>
      <c r="C6" s="19" t="s">
        <v>58</v>
      </c>
      <c r="D6" s="19" t="s">
        <v>59</v>
      </c>
      <c r="E6" s="19">
        <v>1800</v>
      </c>
      <c r="F6" s="19">
        <v>181000</v>
      </c>
      <c r="G6" s="19">
        <v>11</v>
      </c>
      <c r="H6" s="19">
        <v>700</v>
      </c>
      <c r="I6" s="19" t="s">
        <v>47</v>
      </c>
      <c r="J6" s="19">
        <f t="shared" si="0"/>
        <v>100.56</v>
      </c>
      <c r="K6" s="19">
        <f t="shared" si="1"/>
        <v>38.89</v>
      </c>
    </row>
    <row r="7" spans="1:11" x14ac:dyDescent="0.3">
      <c r="A7" s="20" t="s">
        <v>60</v>
      </c>
      <c r="B7" s="20" t="s">
        <v>29</v>
      </c>
      <c r="C7" s="20" t="s">
        <v>61</v>
      </c>
      <c r="D7" s="20" t="s">
        <v>62</v>
      </c>
      <c r="E7" s="20">
        <v>2300</v>
      </c>
      <c r="F7" s="20">
        <v>158000</v>
      </c>
      <c r="G7" s="20">
        <v>15</v>
      </c>
      <c r="H7" s="20">
        <v>950</v>
      </c>
      <c r="I7" s="20" t="s">
        <v>47</v>
      </c>
      <c r="J7" s="20">
        <f t="shared" si="0"/>
        <v>68.7</v>
      </c>
      <c r="K7" s="20">
        <f t="shared" si="1"/>
        <v>41.3</v>
      </c>
    </row>
    <row r="8" spans="1:11" x14ac:dyDescent="0.3">
      <c r="A8" s="19" t="s">
        <v>63</v>
      </c>
      <c r="B8" s="19" t="s">
        <v>30</v>
      </c>
      <c r="C8" s="19" t="s">
        <v>64</v>
      </c>
      <c r="D8" s="19" t="s">
        <v>65</v>
      </c>
      <c r="E8" s="19">
        <v>2400</v>
      </c>
      <c r="F8" s="19">
        <v>228000</v>
      </c>
      <c r="G8" s="19">
        <v>16</v>
      </c>
      <c r="H8" s="19">
        <v>380</v>
      </c>
      <c r="I8" s="19" t="s">
        <v>47</v>
      </c>
      <c r="J8" s="19">
        <f t="shared" si="0"/>
        <v>95</v>
      </c>
      <c r="K8" s="19">
        <f t="shared" si="1"/>
        <v>15.83</v>
      </c>
    </row>
    <row r="9" spans="1:11" x14ac:dyDescent="0.3">
      <c r="A9" s="20" t="s">
        <v>66</v>
      </c>
      <c r="B9" s="20" t="s">
        <v>31</v>
      </c>
      <c r="C9" s="20" t="s">
        <v>58</v>
      </c>
      <c r="D9" s="20" t="s">
        <v>67</v>
      </c>
      <c r="E9" s="20">
        <v>1700</v>
      </c>
      <c r="F9" s="20">
        <v>146000</v>
      </c>
      <c r="G9" s="20"/>
      <c r="H9" s="20">
        <v>700</v>
      </c>
      <c r="I9" s="20" t="s">
        <v>47</v>
      </c>
      <c r="J9" s="20">
        <f t="shared" si="0"/>
        <v>85.88</v>
      </c>
      <c r="K9" s="20">
        <f t="shared" si="1"/>
        <v>41.18</v>
      </c>
    </row>
    <row r="10" spans="1:11" x14ac:dyDescent="0.3">
      <c r="A10" s="19" t="s">
        <v>68</v>
      </c>
      <c r="B10" s="19" t="s">
        <v>32</v>
      </c>
      <c r="C10" s="19" t="s">
        <v>55</v>
      </c>
      <c r="D10" s="19" t="s">
        <v>46</v>
      </c>
      <c r="E10" s="19">
        <v>2150</v>
      </c>
      <c r="F10" s="19">
        <v>172000</v>
      </c>
      <c r="G10" s="19">
        <v>13</v>
      </c>
      <c r="H10" s="19">
        <v>830</v>
      </c>
      <c r="I10" s="19" t="s">
        <v>47</v>
      </c>
      <c r="J10" s="19">
        <f t="shared" si="0"/>
        <v>80</v>
      </c>
      <c r="K10" s="19">
        <f t="shared" si="1"/>
        <v>38.6</v>
      </c>
    </row>
    <row r="11" spans="1:11" x14ac:dyDescent="0.3">
      <c r="A11" s="20" t="s">
        <v>69</v>
      </c>
      <c r="B11" s="20" t="s">
        <v>33</v>
      </c>
      <c r="C11" s="20" t="s">
        <v>45</v>
      </c>
      <c r="D11" s="20" t="s">
        <v>70</v>
      </c>
      <c r="E11" s="20">
        <v>1850</v>
      </c>
      <c r="F11" s="20">
        <v>165000</v>
      </c>
      <c r="G11" s="20">
        <v>12</v>
      </c>
      <c r="H11" s="20">
        <v>760</v>
      </c>
      <c r="I11" s="20" t="s">
        <v>47</v>
      </c>
      <c r="J11" s="20">
        <f t="shared" si="0"/>
        <v>89.19</v>
      </c>
      <c r="K11" s="20">
        <f t="shared" si="1"/>
        <v>41.08</v>
      </c>
    </row>
  </sheetData>
  <autoFilter ref="A1:K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994A"/>
  </sheetPr>
  <dimension ref="A1:A13"/>
  <sheetViews>
    <sheetView workbookViewId="0"/>
  </sheetViews>
  <sheetFormatPr defaultRowHeight="14.4" x14ac:dyDescent="0.3"/>
  <cols>
    <col min="1" max="1" width="120" customWidth="1"/>
  </cols>
  <sheetData>
    <row r="1" spans="1:1" ht="21" x14ac:dyDescent="0.4">
      <c r="A1" s="3" t="s">
        <v>73</v>
      </c>
    </row>
    <row r="3" spans="1:1" x14ac:dyDescent="0.3">
      <c r="A3" t="s">
        <v>74</v>
      </c>
    </row>
    <row r="4" spans="1:1" x14ac:dyDescent="0.3">
      <c r="A4" t="s">
        <v>75</v>
      </c>
    </row>
    <row r="6" spans="1:1" x14ac:dyDescent="0.3">
      <c r="A6" t="s">
        <v>76</v>
      </c>
    </row>
    <row r="7" spans="1:1" x14ac:dyDescent="0.3">
      <c r="A7" t="s">
        <v>77</v>
      </c>
    </row>
    <row r="8" spans="1:1" x14ac:dyDescent="0.3">
      <c r="A8" t="s">
        <v>78</v>
      </c>
    </row>
    <row r="9" spans="1:1" x14ac:dyDescent="0.3">
      <c r="A9" t="s">
        <v>79</v>
      </c>
    </row>
    <row r="10" spans="1:1" x14ac:dyDescent="0.3">
      <c r="A10" t="s">
        <v>80</v>
      </c>
    </row>
    <row r="11" spans="1:1" x14ac:dyDescent="0.3">
      <c r="A11" t="s">
        <v>81</v>
      </c>
    </row>
    <row r="13" spans="1:1" x14ac:dyDescent="0.3">
      <c r="A13" s="4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AFC1"/>
  </sheetPr>
  <dimension ref="A1:I11"/>
  <sheetViews>
    <sheetView workbookViewId="0"/>
  </sheetViews>
  <sheetFormatPr defaultRowHeight="14.4" x14ac:dyDescent="0.3"/>
  <sheetData>
    <row r="1" spans="1:9" x14ac:dyDescent="0.3">
      <c r="A1" t="s">
        <v>12</v>
      </c>
      <c r="B1" t="s">
        <v>13</v>
      </c>
      <c r="C1" t="s">
        <v>83</v>
      </c>
      <c r="D1" t="s">
        <v>16</v>
      </c>
      <c r="E1" t="s">
        <v>15</v>
      </c>
      <c r="F1" t="s">
        <v>84</v>
      </c>
      <c r="H1" t="s">
        <v>85</v>
      </c>
      <c r="I1" t="s">
        <v>86</v>
      </c>
    </row>
    <row r="2" spans="1:9" x14ac:dyDescent="0.3">
      <c r="A2" t="s">
        <v>24</v>
      </c>
      <c r="B2">
        <v>178000</v>
      </c>
      <c r="C2">
        <v>2200</v>
      </c>
      <c r="D2">
        <v>14</v>
      </c>
      <c r="E2">
        <v>900</v>
      </c>
      <c r="F2">
        <f t="shared" ref="F2:F11" si="0">ROUND(B2/C2,2)</f>
        <v>80.91</v>
      </c>
      <c r="H2" t="s">
        <v>13</v>
      </c>
      <c r="I2">
        <f>IF(Dashboard_Final!$B$5="All Stores",SUM(B2:B11),INDEX(B2:B11,MATCH(Dashboard_Final!$B$5,A2:A11,0)))</f>
        <v>1738000</v>
      </c>
    </row>
    <row r="3" spans="1:9" x14ac:dyDescent="0.3">
      <c r="A3" t="s">
        <v>25</v>
      </c>
      <c r="B3">
        <v>162000</v>
      </c>
      <c r="C3">
        <v>1900</v>
      </c>
      <c r="D3">
        <v>12</v>
      </c>
      <c r="E3">
        <v>800</v>
      </c>
      <c r="F3">
        <f t="shared" si="0"/>
        <v>85.26</v>
      </c>
      <c r="H3" t="s">
        <v>83</v>
      </c>
      <c r="I3">
        <f>IF(Dashboard_Final!$B$5="All Stores",AVERAGE(C2:C11),INDEX(C2:C11,MATCH(Dashboard_Final!$B$5,A2:A11,0)))</f>
        <v>2040</v>
      </c>
    </row>
    <row r="4" spans="1:9" x14ac:dyDescent="0.3">
      <c r="A4" t="s">
        <v>26</v>
      </c>
      <c r="B4">
        <v>196000</v>
      </c>
      <c r="C4">
        <v>2100</v>
      </c>
      <c r="D4">
        <v>13</v>
      </c>
      <c r="E4">
        <v>850</v>
      </c>
      <c r="F4">
        <f t="shared" si="0"/>
        <v>93.33</v>
      </c>
      <c r="H4" t="s">
        <v>16</v>
      </c>
      <c r="I4">
        <f>IF(Dashboard_Final!$B$5="All Stores",SUM(D2:D11),INDEX(D2:D11,MATCH(Dashboard_Final!$B$5,A2:A11,0)))</f>
        <v>118</v>
      </c>
    </row>
    <row r="5" spans="1:9" x14ac:dyDescent="0.3">
      <c r="A5" t="s">
        <v>27</v>
      </c>
      <c r="B5">
        <v>152000</v>
      </c>
      <c r="C5">
        <v>2000</v>
      </c>
      <c r="D5">
        <v>12</v>
      </c>
      <c r="E5">
        <v>820</v>
      </c>
      <c r="F5">
        <f t="shared" si="0"/>
        <v>76</v>
      </c>
      <c r="H5" t="s">
        <v>15</v>
      </c>
      <c r="I5">
        <f>IF(Dashboard_Final!$B$5="All Stores",SUM(E2:E11),INDEX(E2:E11,MATCH(Dashboard_Final!$B$5,A2:A11,0)))</f>
        <v>7690</v>
      </c>
    </row>
    <row r="6" spans="1:9" x14ac:dyDescent="0.3">
      <c r="A6" t="s">
        <v>28</v>
      </c>
      <c r="B6">
        <v>181000</v>
      </c>
      <c r="C6">
        <v>1800</v>
      </c>
      <c r="D6">
        <v>11</v>
      </c>
      <c r="E6">
        <v>700</v>
      </c>
      <c r="F6">
        <f t="shared" si="0"/>
        <v>100.56</v>
      </c>
    </row>
    <row r="7" spans="1:9" x14ac:dyDescent="0.3">
      <c r="A7" t="s">
        <v>29</v>
      </c>
      <c r="B7">
        <v>158000</v>
      </c>
      <c r="C7">
        <v>2300</v>
      </c>
      <c r="D7">
        <v>15</v>
      </c>
      <c r="E7">
        <v>950</v>
      </c>
      <c r="F7">
        <f t="shared" si="0"/>
        <v>68.7</v>
      </c>
    </row>
    <row r="8" spans="1:9" x14ac:dyDescent="0.3">
      <c r="A8" t="s">
        <v>30</v>
      </c>
      <c r="B8">
        <v>228000</v>
      </c>
      <c r="C8">
        <v>2400</v>
      </c>
      <c r="D8">
        <v>16</v>
      </c>
      <c r="E8">
        <v>380</v>
      </c>
      <c r="F8">
        <f t="shared" si="0"/>
        <v>95</v>
      </c>
    </row>
    <row r="9" spans="1:9" x14ac:dyDescent="0.3">
      <c r="A9" t="s">
        <v>31</v>
      </c>
      <c r="B9">
        <v>146000</v>
      </c>
      <c r="C9">
        <v>1700</v>
      </c>
      <c r="D9">
        <v>0</v>
      </c>
      <c r="E9">
        <v>700</v>
      </c>
      <c r="F9">
        <f t="shared" si="0"/>
        <v>85.88</v>
      </c>
    </row>
    <row r="10" spans="1:9" x14ac:dyDescent="0.3">
      <c r="A10" t="s">
        <v>32</v>
      </c>
      <c r="B10">
        <v>172000</v>
      </c>
      <c r="C10">
        <v>2150</v>
      </c>
      <c r="D10">
        <v>13</v>
      </c>
      <c r="E10">
        <v>830</v>
      </c>
      <c r="F10">
        <f t="shared" si="0"/>
        <v>80</v>
      </c>
    </row>
    <row r="11" spans="1:9" x14ac:dyDescent="0.3">
      <c r="A11" t="s">
        <v>33</v>
      </c>
      <c r="B11">
        <v>165000</v>
      </c>
      <c r="C11">
        <v>1850</v>
      </c>
      <c r="D11">
        <v>12</v>
      </c>
      <c r="E11">
        <v>760</v>
      </c>
      <c r="F11">
        <f t="shared" si="0"/>
        <v>89.19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Dashboard_Final</vt:lpstr>
      <vt:lpstr>Dashboard</vt:lpstr>
      <vt:lpstr>Dark_Stores_Clean</vt:lpstr>
      <vt:lpstr>Dashboard_Data</vt:lpstr>
      <vt:lpstr>README</vt:lpstr>
      <vt:lpstr>Dashboard_Helper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 Store Performance Analytics - Professional Dashboard</dc:title>
  <dc:subject>Interactive Excel dashboard for dark store performance</dc:subject>
  <dc:creator>OpenAI</dc:creator>
  <cp:lastModifiedBy>Prashant Kumar</cp:lastModifiedBy>
  <dcterms:created xsi:type="dcterms:W3CDTF">2026-09-22T10:45:31Z</dcterms:created>
  <dcterms:modified xsi:type="dcterms:W3CDTF">2026-09-22T14:39:20Z</dcterms:modified>
</cp:coreProperties>
</file>